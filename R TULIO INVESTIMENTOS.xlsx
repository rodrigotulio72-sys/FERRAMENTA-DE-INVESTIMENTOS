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tmp" ContentType="image/jpe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https://d.docs.live.net/18baa848416de4ae/Área de Trabalho/CURSO EXCEL/"/>
    </mc:Choice>
  </mc:AlternateContent>
  <xr:revisionPtr revIDLastSave="517" documentId="11_AD4D361C20488DEA4E38A09964DF6FAA5ADEDD8F" xr6:coauthVersionLast="47" xr6:coauthVersionMax="47" xr10:uidLastSave="{0B6E8D11-629D-4F43-A0D4-5A8F4E78C52F}"/>
  <bookViews>
    <workbookView xWindow="-108" yWindow="-108" windowWidth="23256" windowHeight="12456" xr2:uid="{00000000-000D-0000-FFFF-FFFF00000000}"/>
  </bookViews>
  <sheets>
    <sheet name="INVESTIMENTOS" sheetId="1" r:id="rId1"/>
    <sheet name="PERFIS" sheetId="2" r:id="rId2"/>
  </sheets>
  <definedNames>
    <definedName name="aporte">INVESTIMENTOS!$D$17</definedName>
    <definedName name="patrimonio">INVESTIMENTOS!$D$20</definedName>
    <definedName name="qtd_anos">INVESTIMENTOS!$D$18</definedName>
    <definedName name="rendimento_carteira">INVESTIMENTOS!$D$13</definedName>
    <definedName name="taxa_mensal">INVESTIMENTOS!$D$19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5" i="1" l="1"/>
  <c r="D35" i="1" s="1"/>
  <c r="C34" i="1"/>
  <c r="C33" i="1"/>
  <c r="D24" i="1"/>
  <c r="D25" i="1"/>
  <c r="D26" i="1"/>
  <c r="D23" i="1"/>
  <c r="D30" i="1"/>
  <c r="C24" i="1"/>
  <c r="C25" i="1"/>
  <c r="C26" i="1"/>
  <c r="C27" i="1"/>
  <c r="D27" i="1" s="1"/>
  <c r="C23" i="1"/>
  <c r="D19" i="1"/>
  <c r="D20" i="1" s="1"/>
  <c r="D13" i="1"/>
  <c r="D33" i="1" l="1"/>
  <c r="D34" i="1"/>
  <c r="C36" i="1"/>
  <c r="D36" i="1" l="1"/>
</calcChain>
</file>

<file path=xl/sharedStrings.xml><?xml version="1.0" encoding="utf-8"?>
<sst xmlns="http://schemas.openxmlformats.org/spreadsheetml/2006/main" count="59" uniqueCount="42">
  <si>
    <t>CONFIGURAÇÕES</t>
  </si>
  <si>
    <t>Salário</t>
  </si>
  <si>
    <t>INVESTIMENTO MENSAL</t>
  </si>
  <si>
    <t>Quanto investir por mês ?</t>
  </si>
  <si>
    <t>Por Quantos Anos ?</t>
  </si>
  <si>
    <t>Quanto em 2 Anos ?</t>
  </si>
  <si>
    <t>Quanto em 5 Anos ?</t>
  </si>
  <si>
    <t>Quanto em 10 Anos ?</t>
  </si>
  <si>
    <t>Quanto em 20 Anos ?</t>
  </si>
  <si>
    <t>Quanto em 30 Anos ?</t>
  </si>
  <si>
    <t>PERFIL</t>
  </si>
  <si>
    <t>Moderado</t>
  </si>
  <si>
    <t>TIPO DE FII</t>
  </si>
  <si>
    <t>Percentual Sugerido</t>
  </si>
  <si>
    <t>Valores</t>
  </si>
  <si>
    <t>PAPEL</t>
  </si>
  <si>
    <t>TIJOLO</t>
  </si>
  <si>
    <t>Conservador</t>
  </si>
  <si>
    <t>CHAVE</t>
  </si>
  <si>
    <t>%</t>
  </si>
  <si>
    <t>Agressivo</t>
  </si>
  <si>
    <t>Conservador-PAPEL</t>
  </si>
  <si>
    <t>Conservador-TIJOLO</t>
  </si>
  <si>
    <t>Moderado-PAPEL</t>
  </si>
  <si>
    <t>Moderado-TIJOLO</t>
  </si>
  <si>
    <t>Agressivo-PAPEL</t>
  </si>
  <si>
    <t>Agressivo-TIJOLO</t>
  </si>
  <si>
    <t>TABELA DE PERFIS</t>
  </si>
  <si>
    <t>Conservador-INFRA_NOVOS_SETORES</t>
  </si>
  <si>
    <t>INFRAESTRUTURA / NOVOS SETORES</t>
  </si>
  <si>
    <t>Moderado-INFRA_NOVOS_SETORES</t>
  </si>
  <si>
    <t>Agressivo-INFRA_NOVOS_SETORES</t>
  </si>
  <si>
    <t>SIMULAÇÃO DE CENÁRIOS</t>
  </si>
  <si>
    <t>DIVIDENDOS</t>
  </si>
  <si>
    <t>ESCOLHA O PERFIL ==&gt;</t>
  </si>
  <si>
    <t>Sugestão de Investimento (30% do salário)</t>
  </si>
  <si>
    <t>Rendimento Carteira (dividendo mensal)</t>
  </si>
  <si>
    <t>Qual a taxa de Juros mensal ?</t>
  </si>
  <si>
    <t>Quanto receberei de dividendos mensais ?</t>
  </si>
  <si>
    <t>Quanto será o patrimônio acumulado ?</t>
  </si>
  <si>
    <t>TOTAL</t>
  </si>
  <si>
    <t>TIPO DE FLL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</si>
</sst>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&quot;R$&quot;\ * #,##0.00_-;\-&quot;R$&quot;\ * #,##0.00_-;_-&quot;R$&quot;\ * &quot;-&quot;??_-;_-@_-"/>
    <numFmt numFmtId="164" formatCode="&quot;R$&quot;\ #,##0.00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9C5700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0"/>
      <name val="Aptos"/>
      <family val="2"/>
    </font>
    <font>
      <sz val="10"/>
      <color rgb="FF1F2933"/>
      <name val="Aptos"/>
      <family val="2"/>
    </font>
    <font>
      <b/>
      <sz val="10"/>
      <color rgb="FF1F2933"/>
      <name val="Aptos"/>
      <family val="2"/>
    </font>
    <font>
      <b/>
      <sz val="10"/>
      <color rgb="FFFFFFFF"/>
      <name val="Aptos"/>
      <family val="2"/>
    </font>
    <font>
      <b/>
      <sz val="12"/>
      <color rgb="FFFFFFFF"/>
      <name val="Aptos"/>
      <family val="2"/>
    </font>
    <font>
      <b/>
      <sz val="10"/>
      <color rgb="FF176B3A"/>
      <name val="Aptos"/>
      <family val="2"/>
    </font>
    <font>
      <b/>
      <sz val="10"/>
      <color rgb="FF0B1F33"/>
      <name val="Aptos"/>
      <family val="2"/>
    </font>
  </fonts>
  <fills count="13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0B1F33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EAF0F6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C9A227"/>
        <bgColor indexed="64"/>
      </patternFill>
    </fill>
    <fill>
      <patternFill patternType="solid">
        <fgColor rgb="FFF8EFCB"/>
        <bgColor indexed="64"/>
      </patternFill>
    </fill>
    <fill>
      <patternFill patternType="solid">
        <fgColor rgb="FFDCE6F1"/>
        <bgColor indexed="64"/>
      </patternFill>
    </fill>
    <fill>
      <patternFill patternType="solid">
        <fgColor rgb="FF2F75B5"/>
        <bgColor indexed="64"/>
      </patternFill>
    </fill>
    <fill>
      <patternFill patternType="solid">
        <fgColor rgb="FF70AD47"/>
        <bgColor indexed="64"/>
      </patternFill>
    </fill>
  </fills>
  <borders count="9">
    <border>
      <left/>
      <right/>
      <top/>
      <bottom/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thin">
        <color rgb="FFB8C2CC"/>
      </bottom>
      <diagonal/>
    </border>
    <border>
      <left style="thin">
        <color rgb="FFB8C2CC"/>
      </left>
      <right style="thin">
        <color rgb="FFB8C2CC"/>
      </right>
      <top/>
      <bottom style="thin">
        <color rgb="FFB8C2CC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 style="medium">
        <color rgb="FFC9A227"/>
      </bottom>
      <diagonal/>
    </border>
    <border>
      <left style="thin">
        <color rgb="FFB8C2CC"/>
      </left>
      <right style="thin">
        <color rgb="FFB8C2CC"/>
      </right>
      <top style="thin">
        <color rgb="FFB8C2CC"/>
      </top>
      <bottom/>
      <diagonal/>
    </border>
    <border>
      <left style="medium">
        <color rgb="FFC9A227"/>
      </left>
      <right style="thin">
        <color rgb="FFB8C2CC"/>
      </right>
      <top style="medium">
        <color rgb="FFC9A227"/>
      </top>
      <bottom/>
      <diagonal/>
    </border>
    <border>
      <left style="thin">
        <color rgb="FFB8C2CC"/>
      </left>
      <right style="thin">
        <color rgb="FFB8C2CC"/>
      </right>
      <top style="medium">
        <color rgb="FFC9A227"/>
      </top>
      <bottom/>
      <diagonal/>
    </border>
    <border>
      <left style="medium">
        <color rgb="FF2F75B5"/>
      </left>
      <right style="thin">
        <color rgb="FFB8C2CC"/>
      </right>
      <top style="thin">
        <color rgb="FFB8C2CC"/>
      </top>
      <bottom/>
      <diagonal/>
    </border>
    <border>
      <left style="medium">
        <color rgb="FF70AD47"/>
      </left>
      <right style="thin">
        <color rgb="FFB8C2CC"/>
      </right>
      <top style="thin">
        <color rgb="FFB8C2CC"/>
      </top>
      <bottom style="thin">
        <color rgb="FFB8C2CC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0" applyNumberFormat="0" applyBorder="0" applyAlignment="0" applyProtection="0"/>
  </cellStyleXfs>
  <cellXfs count="50">
    <xf numFmtId="0" fontId="0" fillId="0" borderId="0" xfId="0"/>
    <xf numFmtId="0" fontId="3" fillId="0" borderId="0" xfId="0" applyFont="1"/>
    <xf numFmtId="0" fontId="5" fillId="5" borderId="0" xfId="0" applyFont="1" applyFill="1" applyAlignment="1">
      <alignment vertical="center"/>
    </xf>
    <xf numFmtId="164" fontId="5" fillId="5" borderId="0" xfId="0" applyNumberFormat="1" applyFont="1" applyFill="1" applyAlignment="1">
      <alignment vertical="center"/>
    </xf>
    <xf numFmtId="0" fontId="6" fillId="5" borderId="0" xfId="0" applyFont="1" applyFill="1" applyAlignment="1">
      <alignment horizontal="right" vertical="center"/>
    </xf>
    <xf numFmtId="10" fontId="6" fillId="4" borderId="1" xfId="2" applyNumberFormat="1" applyFont="1" applyFill="1" applyBorder="1" applyAlignment="1">
      <alignment horizontal="right" vertical="center"/>
    </xf>
    <xf numFmtId="44" fontId="6" fillId="7" borderId="1" xfId="1" applyFont="1" applyFill="1" applyBorder="1" applyAlignment="1">
      <alignment horizontal="right" vertical="center"/>
    </xf>
    <xf numFmtId="0" fontId="6" fillId="4" borderId="1" xfId="0" applyFont="1" applyFill="1" applyBorder="1" applyAlignment="1">
      <alignment horizontal="right" vertical="center"/>
    </xf>
    <xf numFmtId="44" fontId="6" fillId="7" borderId="1" xfId="1" applyFont="1" applyFill="1" applyBorder="1" applyAlignment="1">
      <alignment horizontal="right" vertical="center" indent="2"/>
    </xf>
    <xf numFmtId="44" fontId="6" fillId="5" borderId="1" xfId="1" applyFont="1" applyFill="1" applyBorder="1" applyAlignment="1">
      <alignment horizontal="right" vertical="center"/>
    </xf>
    <xf numFmtId="44" fontId="9" fillId="5" borderId="1" xfId="1" applyFont="1" applyFill="1" applyBorder="1" applyAlignment="1">
      <alignment horizontal="right" vertical="center"/>
    </xf>
    <xf numFmtId="0" fontId="10" fillId="4" borderId="1" xfId="3" applyFont="1" applyFill="1" applyBorder="1" applyAlignment="1">
      <alignment horizontal="center" vertical="center"/>
    </xf>
    <xf numFmtId="44" fontId="6" fillId="7" borderId="1" xfId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vertical="center"/>
    </xf>
    <xf numFmtId="44" fontId="6" fillId="4" borderId="2" xfId="1" applyFont="1" applyFill="1" applyBorder="1" applyAlignment="1">
      <alignment horizontal="right" vertical="center"/>
    </xf>
    <xf numFmtId="0" fontId="8" fillId="3" borderId="3" xfId="0" applyFont="1" applyFill="1" applyBorder="1" applyAlignment="1">
      <alignment horizontal="left" vertical="center"/>
    </xf>
    <xf numFmtId="0" fontId="8" fillId="3" borderId="3" xfId="0" applyFont="1" applyFill="1" applyBorder="1" applyAlignment="1">
      <alignment horizontal="right" vertical="center"/>
    </xf>
    <xf numFmtId="44" fontId="6" fillId="5" borderId="2" xfId="1" applyFont="1" applyFill="1" applyBorder="1" applyAlignment="1">
      <alignment horizontal="right" vertical="center"/>
    </xf>
    <xf numFmtId="44" fontId="9" fillId="5" borderId="2" xfId="1" applyFont="1" applyFill="1" applyBorder="1" applyAlignment="1">
      <alignment horizontal="right" vertical="center"/>
    </xf>
    <xf numFmtId="0" fontId="7" fillId="3" borderId="3" xfId="0" applyFont="1" applyFill="1" applyBorder="1" applyAlignment="1">
      <alignment horizontal="center" vertical="center"/>
    </xf>
    <xf numFmtId="0" fontId="5" fillId="6" borderId="2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center" vertical="center"/>
    </xf>
    <xf numFmtId="9" fontId="5" fillId="5" borderId="1" xfId="0" applyNumberFormat="1" applyFont="1" applyFill="1" applyBorder="1" applyAlignment="1">
      <alignment horizontal="center" vertical="center"/>
    </xf>
    <xf numFmtId="0" fontId="10" fillId="8" borderId="2" xfId="0" applyFont="1" applyFill="1" applyBorder="1" applyAlignment="1">
      <alignment horizontal="center" vertical="center"/>
    </xf>
    <xf numFmtId="0" fontId="8" fillId="3" borderId="3" xfId="0" applyFont="1" applyFill="1" applyBorder="1" applyAlignment="1">
      <alignment vertical="center"/>
    </xf>
    <xf numFmtId="0" fontId="7" fillId="3" borderId="4" xfId="0" applyFont="1" applyFill="1" applyBorder="1" applyAlignment="1">
      <alignment horizontal="center" vertical="center"/>
    </xf>
    <xf numFmtId="164" fontId="7" fillId="3" borderId="4" xfId="0" applyNumberFormat="1" applyFont="1" applyFill="1" applyBorder="1" applyAlignment="1">
      <alignment horizontal="center" vertical="center"/>
    </xf>
    <xf numFmtId="0" fontId="7" fillId="8" borderId="5" xfId="0" applyFont="1" applyFill="1" applyBorder="1" applyAlignment="1">
      <alignment horizontal="left" vertical="center"/>
    </xf>
    <xf numFmtId="44" fontId="5" fillId="9" borderId="6" xfId="1" applyFont="1" applyFill="1" applyBorder="1" applyAlignment="1">
      <alignment horizontal="right" vertical="center"/>
    </xf>
    <xf numFmtId="44" fontId="5" fillId="7" borderId="1" xfId="1" applyFont="1" applyFill="1" applyBorder="1" applyAlignment="1">
      <alignment horizontal="right" vertical="center"/>
    </xf>
    <xf numFmtId="0" fontId="7" fillId="11" borderId="7" xfId="0" applyFont="1" applyFill="1" applyBorder="1" applyAlignment="1">
      <alignment horizontal="left" vertical="center"/>
    </xf>
    <xf numFmtId="44" fontId="5" fillId="10" borderId="4" xfId="1" applyFont="1" applyFill="1" applyBorder="1" applyAlignment="1">
      <alignment horizontal="right" vertical="center"/>
    </xf>
    <xf numFmtId="0" fontId="10" fillId="8" borderId="2" xfId="0" applyFont="1" applyFill="1" applyBorder="1" applyAlignment="1">
      <alignment horizontal="left" vertical="center"/>
    </xf>
    <xf numFmtId="9" fontId="10" fillId="8" borderId="2" xfId="0" applyNumberFormat="1" applyFont="1" applyFill="1" applyBorder="1" applyAlignment="1">
      <alignment horizontal="center" vertical="center"/>
    </xf>
    <xf numFmtId="44" fontId="10" fillId="8" borderId="2" xfId="1" applyFont="1" applyFill="1" applyBorder="1" applyAlignment="1">
      <alignment horizontal="center" vertical="center"/>
    </xf>
    <xf numFmtId="0" fontId="7" fillId="12" borderId="8" xfId="0" applyFont="1" applyFill="1" applyBorder="1" applyAlignment="1">
      <alignment horizontal="left" vertical="center"/>
    </xf>
    <xf numFmtId="0" fontId="4" fillId="5" borderId="0" xfId="0" applyFont="1" applyFill="1" applyAlignment="1">
      <alignment vertical="center"/>
    </xf>
    <xf numFmtId="9" fontId="5" fillId="9" borderId="6" xfId="0" applyNumberFormat="1" applyFont="1" applyFill="1" applyBorder="1" applyAlignment="1">
      <alignment horizontal="center" vertical="center"/>
    </xf>
    <xf numFmtId="9" fontId="5" fillId="10" borderId="4" xfId="0" applyNumberFormat="1" applyFont="1" applyFill="1" applyBorder="1" applyAlignment="1">
      <alignment horizontal="center" vertical="center"/>
    </xf>
    <xf numFmtId="9" fontId="5" fillId="7" borderId="1" xfId="0" applyNumberFormat="1" applyFont="1" applyFill="1" applyBorder="1" applyAlignment="1">
      <alignment horizontal="center" vertical="center"/>
    </xf>
    <xf numFmtId="0" fontId="6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0" fontId="5" fillId="6" borderId="1" xfId="0" applyFont="1" applyFill="1" applyBorder="1" applyAlignment="1">
      <alignment vertical="center"/>
    </xf>
    <xf numFmtId="0" fontId="6" fillId="6" borderId="1" xfId="0" applyFont="1" applyFill="1" applyBorder="1" applyAlignment="1">
      <alignment vertical="center"/>
    </xf>
    <xf numFmtId="0" fontId="8" fillId="3" borderId="3" xfId="0" applyFont="1" applyFill="1" applyBorder="1" applyAlignment="1">
      <alignment horizontal="left" vertical="center"/>
    </xf>
    <xf numFmtId="0" fontId="6" fillId="6" borderId="1" xfId="3" applyFont="1" applyFill="1" applyBorder="1" applyAlignment="1">
      <alignment horizontal="left" vertical="center"/>
    </xf>
    <xf numFmtId="0" fontId="5" fillId="6" borderId="2" xfId="0" applyFont="1" applyFill="1" applyBorder="1" applyAlignment="1">
      <alignment horizontal="left" vertical="center"/>
    </xf>
    <xf numFmtId="0" fontId="5" fillId="6" borderId="2" xfId="0" applyFont="1" applyFill="1" applyBorder="1" applyAlignment="1">
      <alignment vertical="center"/>
    </xf>
  </cellXfs>
  <cellStyles count="4">
    <cellStyle name="Moeda" xfId="1" builtinId="4"/>
    <cellStyle name="Neutro" xfId="3" builtinId="28"/>
    <cellStyle name="Normal" xfId="0" builtinId="0"/>
    <cellStyle name="Porcentagem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TIPO</a:t>
            </a:r>
            <a:r>
              <a:rPr lang="pt-BR" baseline="0"/>
              <a:t> DE FLL / PERCENTUAL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rgbClr val="C9A227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47C5-4C8F-8522-6A24336DBD7B}"/>
              </c:ext>
            </c:extLst>
          </c:dPt>
          <c:dPt>
            <c:idx val="1"/>
            <c:bubble3D val="0"/>
            <c:spPr>
              <a:solidFill>
                <a:srgbClr val="2F75B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2-47C5-4C8F-8522-6A24336DBD7B}"/>
              </c:ext>
            </c:extLst>
          </c:dPt>
          <c:dPt>
            <c:idx val="2"/>
            <c:bubble3D val="0"/>
            <c:spPr>
              <a:solidFill>
                <a:srgbClr val="70AD47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47C5-4C8F-8522-6A24336DBD7B}"/>
              </c:ext>
            </c:extLst>
          </c:dPt>
          <c:cat>
            <c:strRef>
              <c:f>INVESTIMENTOS!$B$33:$B$35</c:f>
              <c:strCache>
                <c:ptCount val="3"/>
                <c:pt idx="0">
                  <c:v>TIJOLO</c:v>
                </c:pt>
                <c:pt idx="1">
                  <c:v>PAPEL</c:v>
                </c:pt>
                <c:pt idx="2">
                  <c:v>INFRAESTRUTURA / NOVOS SETORES</c:v>
                </c:pt>
              </c:strCache>
            </c:strRef>
          </c:cat>
          <c:val>
            <c:numRef>
              <c:f>INVESTIMENTOS!$C$33:$C$35</c:f>
              <c:numCache>
                <c:formatCode>0%</c:formatCode>
                <c:ptCount val="3"/>
                <c:pt idx="0">
                  <c:v>0.55000000000000004</c:v>
                </c:pt>
                <c:pt idx="1">
                  <c:v>0.4</c:v>
                </c:pt>
                <c:pt idx="2">
                  <c:v>0.05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7C5-4C8F-8522-6A24336DBD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987580984568083"/>
          <c:y val="0.89459307314178493"/>
          <c:w val="0.53709356838781597"/>
          <c:h val="0.1054069268582151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.xml"/><Relationship Id="rId1" Type="http://schemas.openxmlformats.org/officeDocument/2006/relationships/image" Target="../media/image1.tmp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403860" y="182880"/>
    <xdr:ext cx="6035040" cy="1040524"/>
    <xdr:pic>
      <xdr:nvPicPr>
        <xdr:cNvPr id="21" name="Banner R Tulio Investimentos JPG Ajustado">
          <a:extLst>
            <a:ext uri="{FF2B5EF4-FFF2-40B4-BE49-F238E27FC236}">
              <a16:creationId xmlns:a16="http://schemas.microsoft.com/office/drawing/2014/main" id="{7D919A6D-7974-4194-C4AE-FB2B5FA2EE0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03860" y="182880"/>
          <a:ext cx="6035040" cy="1040524"/>
        </a:xfrm>
        <a:prstGeom prst="rect">
          <a:avLst/>
        </a:prstGeom>
      </xdr:spPr>
    </xdr:pic>
    <xdr:clientData/>
  </xdr:absoluteAnchor>
  <xdr:twoCellAnchor>
    <xdr:from>
      <xdr:col>1</xdr:col>
      <xdr:colOff>6626</xdr:colOff>
      <xdr:row>37</xdr:row>
      <xdr:rowOff>76200</xdr:rowOff>
    </xdr:from>
    <xdr:to>
      <xdr:col>3</xdr:col>
      <xdr:colOff>1808922</xdr:colOff>
      <xdr:row>54</xdr:row>
      <xdr:rowOff>39757</xdr:rowOff>
    </xdr:to>
    <xdr:graphicFrame macro="">
      <xdr:nvGraphicFramePr>
        <xdr:cNvPr id="25" name="Alocação por Tipo de FII">
          <a:extLst>
            <a:ext uri="{FF2B5EF4-FFF2-40B4-BE49-F238E27FC236}">
              <a16:creationId xmlns:a16="http://schemas.microsoft.com/office/drawing/2014/main" id="{775B8DE1-2946-75B1-0383-A77E68ECA4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0:D36"/>
  <sheetViews>
    <sheetView showGridLines="0" tabSelected="1" zoomScale="115" zoomScaleNormal="115" workbookViewId="0">
      <selection activeCell="B30" sqref="B30:C30"/>
    </sheetView>
  </sheetViews>
  <sheetFormatPr defaultRowHeight="14.4" x14ac:dyDescent="0.3"/>
  <cols>
    <col min="1" max="1" width="5.88671875" customWidth="1"/>
    <col min="2" max="2" width="45.33203125" customWidth="1"/>
    <col min="3" max="4" width="21.33203125" customWidth="1"/>
    <col min="5" max="5" width="13.109375" bestFit="1" customWidth="1"/>
    <col min="6" max="12" width="10.77734375" customWidth="1"/>
  </cols>
  <sheetData>
    <row r="10" spans="1:4" ht="22.95" customHeight="1" thickBot="1" x14ac:dyDescent="0.35">
      <c r="A10" s="2"/>
      <c r="B10" s="15" t="s">
        <v>0</v>
      </c>
      <c r="C10" s="15"/>
      <c r="D10" s="15"/>
    </row>
    <row r="11" spans="1:4" ht="22.95" customHeight="1" x14ac:dyDescent="0.3">
      <c r="A11" s="2"/>
      <c r="B11" s="48" t="s">
        <v>1</v>
      </c>
      <c r="C11" s="49"/>
      <c r="D11" s="14">
        <v>3000</v>
      </c>
    </row>
    <row r="12" spans="1:4" ht="22.95" customHeight="1" x14ac:dyDescent="0.3">
      <c r="A12" s="2"/>
      <c r="B12" s="43" t="s">
        <v>36</v>
      </c>
      <c r="C12" s="44"/>
      <c r="D12" s="5">
        <v>7.4999999999999997E-3</v>
      </c>
    </row>
    <row r="13" spans="1:4" ht="22.95" customHeight="1" x14ac:dyDescent="0.3">
      <c r="A13" s="2"/>
      <c r="B13" s="43" t="s">
        <v>35</v>
      </c>
      <c r="C13" s="44"/>
      <c r="D13" s="6">
        <f>D11*30%</f>
        <v>900</v>
      </c>
    </row>
    <row r="14" spans="1:4" ht="9" customHeight="1" x14ac:dyDescent="0.3">
      <c r="A14" s="2"/>
      <c r="B14" s="22"/>
      <c r="C14" s="2"/>
      <c r="D14" s="4"/>
    </row>
    <row r="15" spans="1:4" ht="22.95" customHeight="1" thickBot="1" x14ac:dyDescent="0.35">
      <c r="A15" s="2"/>
      <c r="B15" s="46" t="s">
        <v>2</v>
      </c>
      <c r="C15" s="46"/>
      <c r="D15" s="16"/>
    </row>
    <row r="16" spans="1:4" ht="22.95" customHeight="1" x14ac:dyDescent="0.3">
      <c r="A16" s="2"/>
      <c r="B16" s="48" t="s">
        <v>3</v>
      </c>
      <c r="C16" s="49"/>
      <c r="D16" s="14">
        <v>450</v>
      </c>
    </row>
    <row r="17" spans="1:4" ht="22.95" customHeight="1" x14ac:dyDescent="0.3">
      <c r="A17" s="2"/>
      <c r="B17" s="43" t="s">
        <v>4</v>
      </c>
      <c r="C17" s="44"/>
      <c r="D17" s="7">
        <v>5</v>
      </c>
    </row>
    <row r="18" spans="1:4" ht="22.95" customHeight="1" x14ac:dyDescent="0.3">
      <c r="A18" s="2"/>
      <c r="B18" s="43" t="s">
        <v>37</v>
      </c>
      <c r="C18" s="44"/>
      <c r="D18" s="5">
        <v>1.04E-2</v>
      </c>
    </row>
    <row r="19" spans="1:4" ht="22.95" customHeight="1" x14ac:dyDescent="0.3">
      <c r="A19" s="2"/>
      <c r="B19" s="42" t="s">
        <v>39</v>
      </c>
      <c r="C19" s="45"/>
      <c r="D19" s="8">
        <f>FV(D18,D17*12,-D16)</f>
        <v>37227.719581551304</v>
      </c>
    </row>
    <row r="20" spans="1:4" ht="22.95" customHeight="1" x14ac:dyDescent="0.3">
      <c r="A20" s="2"/>
      <c r="B20" s="42" t="s">
        <v>38</v>
      </c>
      <c r="C20" s="45"/>
      <c r="D20" s="8">
        <f>D19*$D$12</f>
        <v>279.20789686163477</v>
      </c>
    </row>
    <row r="21" spans="1:4" ht="9" customHeight="1" x14ac:dyDescent="0.3">
      <c r="A21" s="2"/>
      <c r="B21" s="2"/>
      <c r="C21" s="2"/>
      <c r="D21" s="2"/>
    </row>
    <row r="22" spans="1:4" ht="22.95" customHeight="1" thickBot="1" x14ac:dyDescent="0.35">
      <c r="A22" s="2"/>
      <c r="B22" s="46" t="s">
        <v>32</v>
      </c>
      <c r="C22" s="46"/>
      <c r="D22" s="19" t="s">
        <v>33</v>
      </c>
    </row>
    <row r="23" spans="1:4" ht="22.95" customHeight="1" x14ac:dyDescent="0.3">
      <c r="A23" s="38">
        <v>2</v>
      </c>
      <c r="B23" s="20" t="s">
        <v>5</v>
      </c>
      <c r="C23" s="17">
        <f>FV($D$18,$A23*12,-$D$16)</f>
        <v>12195.802217249769</v>
      </c>
      <c r="D23" s="18">
        <f>C23*$D$12</f>
        <v>91.468516629373269</v>
      </c>
    </row>
    <row r="24" spans="1:4" ht="22.95" customHeight="1" x14ac:dyDescent="0.3">
      <c r="A24" s="38">
        <v>5</v>
      </c>
      <c r="B24" s="21" t="s">
        <v>6</v>
      </c>
      <c r="C24" s="9">
        <f t="shared" ref="C24:C27" si="0">FV($D$18,$A24*12,-$D$16)</f>
        <v>37227.719581551304</v>
      </c>
      <c r="D24" s="10">
        <f>C24*$D$12</f>
        <v>279.20789686163477</v>
      </c>
    </row>
    <row r="25" spans="1:4" ht="22.95" customHeight="1" x14ac:dyDescent="0.3">
      <c r="A25" s="38">
        <v>10</v>
      </c>
      <c r="B25" s="21" t="s">
        <v>7</v>
      </c>
      <c r="C25" s="9">
        <f t="shared" si="0"/>
        <v>106485.19981759868</v>
      </c>
      <c r="D25" s="10">
        <f>C25*$D$12</f>
        <v>798.63899863199003</v>
      </c>
    </row>
    <row r="26" spans="1:4" ht="22.95" customHeight="1" x14ac:dyDescent="0.3">
      <c r="A26" s="38">
        <v>20</v>
      </c>
      <c r="B26" s="21" t="s">
        <v>8</v>
      </c>
      <c r="C26" s="9">
        <f t="shared" si="0"/>
        <v>475029.54833301232</v>
      </c>
      <c r="D26" s="10">
        <f>C26*$D$12</f>
        <v>3562.7216124975921</v>
      </c>
    </row>
    <row r="27" spans="1:4" ht="22.95" customHeight="1" x14ac:dyDescent="0.3">
      <c r="A27" s="38">
        <v>30</v>
      </c>
      <c r="B27" s="21" t="s">
        <v>9</v>
      </c>
      <c r="C27" s="9">
        <f t="shared" si="0"/>
        <v>1750558.3265604917</v>
      </c>
      <c r="D27" s="10">
        <f>C27*$D$12</f>
        <v>13129.187449203688</v>
      </c>
    </row>
    <row r="28" spans="1:4" ht="9" customHeight="1" x14ac:dyDescent="0.3">
      <c r="A28" s="2"/>
      <c r="B28" s="2"/>
      <c r="C28" s="2"/>
      <c r="D28" s="2"/>
    </row>
    <row r="29" spans="1:4" ht="22.95" customHeight="1" x14ac:dyDescent="0.3">
      <c r="A29" s="2"/>
      <c r="B29" s="47" t="s">
        <v>34</v>
      </c>
      <c r="C29" s="47"/>
      <c r="D29" s="11" t="s">
        <v>17</v>
      </c>
    </row>
    <row r="30" spans="1:4" ht="22.95" customHeight="1" x14ac:dyDescent="0.3">
      <c r="A30" s="2"/>
      <c r="B30" s="42" t="s">
        <v>2</v>
      </c>
      <c r="C30" s="42"/>
      <c r="D30" s="12">
        <f>D16</f>
        <v>450</v>
      </c>
    </row>
    <row r="31" spans="1:4" ht="9" customHeight="1" x14ac:dyDescent="0.3">
      <c r="A31" s="2"/>
      <c r="B31" s="2"/>
      <c r="C31" s="2"/>
      <c r="D31" s="3"/>
    </row>
    <row r="32" spans="1:4" ht="22.95" customHeight="1" thickBot="1" x14ac:dyDescent="0.35">
      <c r="A32" s="2"/>
      <c r="B32" s="27" t="s">
        <v>41</v>
      </c>
      <c r="C32" s="27" t="s">
        <v>13</v>
      </c>
      <c r="D32" s="28" t="s">
        <v>14</v>
      </c>
    </row>
    <row r="33" spans="1:4" ht="22.95" customHeight="1" x14ac:dyDescent="0.3">
      <c r="A33" s="2"/>
      <c r="B33" s="29" t="s">
        <v>16</v>
      </c>
      <c r="C33" s="39">
        <f>IFERROR(SUMIFS(PERFIS!$D$3:$D$11,PERFIS!$B$3:$B$11,$D$29,PERFIS!$C$3:$C$11,B33),"")</f>
        <v>0.55000000000000004</v>
      </c>
      <c r="D33" s="30">
        <f>IF(C33="","",C33*$D$30)</f>
        <v>247.50000000000003</v>
      </c>
    </row>
    <row r="34" spans="1:4" ht="22.95" customHeight="1" x14ac:dyDescent="0.3">
      <c r="A34" s="2"/>
      <c r="B34" s="32" t="s">
        <v>15</v>
      </c>
      <c r="C34" s="40">
        <f>IFERROR(SUMIFS(PERFIS!$D$3:$D$11,PERFIS!$B$3:$B$11,$D$29,PERFIS!$C$3:$C$11,B34),"")</f>
        <v>0.4</v>
      </c>
      <c r="D34" s="33">
        <f t="shared" ref="D34:D35" si="1">IF(C34="","",C34*$D$30)</f>
        <v>180</v>
      </c>
    </row>
    <row r="35" spans="1:4" ht="22.95" customHeight="1" x14ac:dyDescent="0.3">
      <c r="A35" s="2"/>
      <c r="B35" s="37" t="s">
        <v>29</v>
      </c>
      <c r="C35" s="41">
        <f>IFERROR(SUMIFS(PERFIS!$D$3:$D$11,PERFIS!$B$3:$B$11,$D$29,PERFIS!$C$3:$C$11,B35),"")</f>
        <v>0.05</v>
      </c>
      <c r="D35" s="31">
        <f t="shared" si="1"/>
        <v>22.5</v>
      </c>
    </row>
    <row r="36" spans="1:4" ht="22.95" customHeight="1" x14ac:dyDescent="0.3">
      <c r="A36" s="2"/>
      <c r="B36" s="34" t="s">
        <v>40</v>
      </c>
      <c r="C36" s="35">
        <f>SUM(C33:C35)</f>
        <v>1</v>
      </c>
      <c r="D36" s="36">
        <f>SUM(D33:D35)</f>
        <v>450</v>
      </c>
    </row>
  </sheetData>
  <mergeCells count="12">
    <mergeCell ref="B15:C15"/>
    <mergeCell ref="B29:C29"/>
    <mergeCell ref="B11:C11"/>
    <mergeCell ref="B12:C12"/>
    <mergeCell ref="B13:C13"/>
    <mergeCell ref="B16:C16"/>
    <mergeCell ref="B17:C17"/>
    <mergeCell ref="B30:C30"/>
    <mergeCell ref="B18:C18"/>
    <mergeCell ref="B19:C19"/>
    <mergeCell ref="B20:C20"/>
    <mergeCell ref="B22:C22"/>
  </mergeCells>
  <dataValidations count="1">
    <dataValidation type="list" allowBlank="1" showInputMessage="1" showErrorMessage="1" errorTitle="Perfil inválido" error="Selecione um perfil disponível na lista." promptTitle="Perfil do investidor" prompt="Escolha Conservador, Moderado ou Agressivo." sqref="D29" xr:uid="{58735B51-8C61-4FE3-B0E2-92F4A371895A}">
      <formula1>"Conservador,Moderado,Agressivo"</formula1>
    </dataValidation>
  </dataValidation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BA4923-68A9-4D88-8600-B7D600F31BE5}">
  <dimension ref="A1:D11"/>
  <sheetViews>
    <sheetView showGridLines="0" workbookViewId="0">
      <selection activeCell="F12" sqref="F11:F12"/>
    </sheetView>
  </sheetViews>
  <sheetFormatPr defaultRowHeight="18" x14ac:dyDescent="0.35"/>
  <cols>
    <col min="1" max="1" width="41.6640625" style="1" customWidth="1"/>
    <col min="2" max="2" width="17.5546875" style="1" customWidth="1"/>
    <col min="3" max="3" width="38.88671875" style="1" customWidth="1"/>
    <col min="4" max="4" width="10.21875" style="1" customWidth="1"/>
    <col min="5" max="16384" width="8.88671875" style="1"/>
  </cols>
  <sheetData>
    <row r="1" spans="1:4" ht="22.05" customHeight="1" thickBot="1" x14ac:dyDescent="0.4">
      <c r="A1" s="26" t="s">
        <v>27</v>
      </c>
      <c r="B1" s="26"/>
      <c r="C1" s="26"/>
      <c r="D1" s="26"/>
    </row>
    <row r="2" spans="1:4" ht="22.05" customHeight="1" x14ac:dyDescent="0.35">
      <c r="A2" s="25" t="s">
        <v>18</v>
      </c>
      <c r="B2" s="25" t="s">
        <v>10</v>
      </c>
      <c r="C2" s="25" t="s">
        <v>12</v>
      </c>
      <c r="D2" s="25" t="s">
        <v>19</v>
      </c>
    </row>
    <row r="3" spans="1:4" ht="22.05" customHeight="1" x14ac:dyDescent="0.35">
      <c r="A3" s="13" t="s">
        <v>22</v>
      </c>
      <c r="B3" s="23" t="s">
        <v>17</v>
      </c>
      <c r="C3" s="13" t="s">
        <v>16</v>
      </c>
      <c r="D3" s="24">
        <v>0.55000000000000004</v>
      </c>
    </row>
    <row r="4" spans="1:4" ht="22.05" customHeight="1" x14ac:dyDescent="0.35">
      <c r="A4" s="13" t="s">
        <v>21</v>
      </c>
      <c r="B4" s="23" t="s">
        <v>17</v>
      </c>
      <c r="C4" s="13" t="s">
        <v>15</v>
      </c>
      <c r="D4" s="24">
        <v>0.4</v>
      </c>
    </row>
    <row r="5" spans="1:4" ht="22.05" customHeight="1" x14ac:dyDescent="0.35">
      <c r="A5" s="13" t="s">
        <v>28</v>
      </c>
      <c r="B5" s="23" t="s">
        <v>17</v>
      </c>
      <c r="C5" s="13" t="s">
        <v>29</v>
      </c>
      <c r="D5" s="24">
        <v>0.05</v>
      </c>
    </row>
    <row r="6" spans="1:4" ht="22.05" customHeight="1" x14ac:dyDescent="0.35">
      <c r="A6" s="13" t="s">
        <v>24</v>
      </c>
      <c r="B6" s="23" t="s">
        <v>11</v>
      </c>
      <c r="C6" s="13" t="s">
        <v>16</v>
      </c>
      <c r="D6" s="24">
        <v>0.45</v>
      </c>
    </row>
    <row r="7" spans="1:4" ht="22.05" customHeight="1" x14ac:dyDescent="0.35">
      <c r="A7" s="13" t="s">
        <v>23</v>
      </c>
      <c r="B7" s="23" t="s">
        <v>11</v>
      </c>
      <c r="C7" s="13" t="s">
        <v>15</v>
      </c>
      <c r="D7" s="24">
        <v>0.35</v>
      </c>
    </row>
    <row r="8" spans="1:4" ht="22.05" customHeight="1" x14ac:dyDescent="0.35">
      <c r="A8" s="13" t="s">
        <v>30</v>
      </c>
      <c r="B8" s="23" t="s">
        <v>11</v>
      </c>
      <c r="C8" s="13" t="s">
        <v>29</v>
      </c>
      <c r="D8" s="24">
        <v>0.2</v>
      </c>
    </row>
    <row r="9" spans="1:4" ht="22.05" customHeight="1" x14ac:dyDescent="0.35">
      <c r="A9" s="13" t="s">
        <v>25</v>
      </c>
      <c r="B9" s="23" t="s">
        <v>20</v>
      </c>
      <c r="C9" s="13" t="s">
        <v>15</v>
      </c>
      <c r="D9" s="24">
        <v>0.3</v>
      </c>
    </row>
    <row r="10" spans="1:4" ht="22.05" customHeight="1" x14ac:dyDescent="0.35">
      <c r="A10" s="13" t="s">
        <v>31</v>
      </c>
      <c r="B10" s="23" t="s">
        <v>20</v>
      </c>
      <c r="C10" s="13" t="s">
        <v>29</v>
      </c>
      <c r="D10" s="24">
        <v>0.4</v>
      </c>
    </row>
    <row r="11" spans="1:4" ht="22.05" customHeight="1" x14ac:dyDescent="0.35">
      <c r="A11" s="13" t="s">
        <v>26</v>
      </c>
      <c r="B11" s="23" t="s">
        <v>20</v>
      </c>
      <c r="C11" s="13" t="s">
        <v>16</v>
      </c>
      <c r="D11" s="24">
        <v>0.3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5</vt:i4>
      </vt:variant>
    </vt:vector>
  </HeadingPairs>
  <TitlesOfParts>
    <vt:vector size="7" baseType="lpstr">
      <vt:lpstr>INVESTIMENTOS</vt:lpstr>
      <vt:lpstr>PERFIS</vt:lpstr>
      <vt:lpstr>aporte</vt:lpstr>
      <vt:lpstr>patrimonio</vt:lpstr>
      <vt:lpstr>qtd_anos</vt:lpstr>
      <vt:lpstr>rendimento_carteira</vt:lpstr>
      <vt:lpstr>taxa_mensal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Rodrigo Tulio</dc:creator>
  <cp:lastModifiedBy>Rodrigo Tulio</cp:lastModifiedBy>
  <cp:lastPrinted>2026-10-13T09:36:43Z</cp:lastPrinted>
  <dcterms:created xsi:type="dcterms:W3CDTF">2015-06-05T18:19:34Z</dcterms:created>
  <dcterms:modified xsi:type="dcterms:W3CDTF">2026-10-13T11:54:36Z</dcterms:modified>
</cp:coreProperties>
</file>